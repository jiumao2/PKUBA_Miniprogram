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35dce79fb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3b5f290521c04cf9"/>
    <x:sheet xmlns:r="http://schemas.openxmlformats.org/officeDocument/2006/relationships" name="赛程网格" sheetId="2" r:id="R37695762fdd6475b"/>
    <x:sheet xmlns:r="http://schemas.openxmlformats.org/officeDocument/2006/relationships" name="模板元数据" sheetId="3" r:id="R0e2977f16da9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1614"/>
      <x:name val="Carlito"/>
    </x:font>
    <x:font>
      <x:b/>
      <x:sz val="11"/>
      <x:color rgb="FFFFFFFF"/>
      <x:name val="Carlito"/>
    </x:font>
    <x:font>
      <x:sz val="11"/>
      <x:color rgb="FF171614"/>
      <x:name val="Carlito"/>
    </x:font>
    <x:font>
      <x:b/>
      <x:sz val="11"/>
      <x:color rgb="FF9F151B"/>
      <x:name val="Carlito"/>
    </x:font>
    <x:font>
      <x:b/>
      <x:sz val="20"/>
      <x:color rgb="FFFFFFFF"/>
      <x:name val="Microsoft YaHei"/>
    </x:font>
    <x:font>
      <x:sz val="11"/>
      <x:name val="Microsoft YaHei"/>
    </x:font>
    <x:font>
      <x:b/>
      <x:sz val="11"/>
      <x:color rgb="FF171614"/>
      <x:name val="Microsoft YaHei"/>
    </x:font>
    <x:font>
      <x:b/>
      <x:sz val="11"/>
      <x:color rgb="FFFFFFFF"/>
      <x:name val="Microsoft YaHei"/>
    </x:font>
    <x:font>
      <x:sz val="11"/>
      <x:color rgb="FF171614"/>
      <x:name val="Microsoft YaHei"/>
    </x:font>
    <x:font>
      <x:b/>
      <x:sz val="11"/>
      <x:color rgb="FF9F151B"/>
      <x:name val="Microsoft YaHei"/>
    </x:font>
    <x:font>
      <x:b/>
      <x:sz val="18"/>
      <x:color rgb="FFFFFFFF"/>
      <x:name val="Carlito"/>
    </x:font>
    <x:font>
      <x:b/>
      <x:sz val="18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C91F26"/>
      </x:patternFill>
    </x:fill>
    <x:fill>
      <x:patternFill patternType="solid">
        <x:fgColor rgb="FFF2F0EB"/>
      </x:patternFill>
    </x:fill>
    <x:fill>
      <x:patternFill patternType="solid">
        <x:fgColor rgb="FF171614"/>
      </x:patternFill>
    </x:fill>
    <x:fill>
      <x:patternFill patternType="solid">
        <x:fgColor rgb="FFFAF9F6"/>
      </x:patternFill>
    </x:fill>
    <x:fill>
      <x:patternFill patternType="solid">
        <x:fgColor rgb="FFF8EDE1"/>
      </x:patternFill>
    </x:fill>
  </x:fills>
  <x:borders count="2">
    <x:border/>
    <x:border>
      <x:left style="thin">
        <x:color rgb="FFDEDAD3"/>
      </x:left>
      <x:right style="thin">
        <x:color rgb="FFDEDAD3"/>
      </x:right>
      <x:top style="thin">
        <x:color rgb="FFDEDAD3"/>
      </x:top>
      <x:bottom style="thin">
        <x:color rgb="FFDEDAD3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10" fillId="5" borderId="1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2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horizontal="center" vertical="center" wrapText="1"/>
    </x:xf>
    <x:xf numFmtId="200" fontId="10" fillId="3" borderId="1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center"/>
    </x:xf>
    <x:xf numFmtId="0" fontId="10" fillId="6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F151B"/>
      </x:font>
      <x:fill>
        <x:patternFill patternType="solid">
          <x:bgColor rgb="FFF8D9D7"/>
        </x:patternFill>
      </x:fill>
    </x:dxf>
    <x:dxf>
      <x:font>
        <x:b/>
        <x:color rgb="FF24754D"/>
      </x:font>
      <x:fill>
        <x:patternFill patternType="solid">
          <x:bgColor rgb="FFE7F1EA"/>
        </x:patternFill>
      </x:fill>
    </x:dxf>
    <x:dxf>
      <x:font>
        <x:b/>
        <x:color rgb="FF9F151B"/>
      </x:font>
      <x:fill>
        <x:patternFill patternType="solid">
          <x:bgColor rgb="FFF8D9D7"/>
        </x:patternFill>
      </x:fill>
    </x:dxf>
    <x:dxf>
      <x:font>
        <x:b/>
        <x:color rgb="FF24754D"/>
      </x:font>
      <x:fill>
        <x:patternFill patternType="solid">
          <x:bgColor rgb="FFE7F1EA"/>
        </x:patternFill>
      </x:fill>
    </x:dxf>
    <x:dxf>
      <x:font>
        <x:b/>
        <x:color rgb="FF9F151B"/>
      </x:font>
      <x:fill>
        <x:patternFill patternType="solid">
          <x:bgColor rgb="FFF8D9D7"/>
        </x:patternFill>
      </x:fill>
    </x:dxf>
    <x:dxf>
      <x:font>
        <x:b/>
        <x:color rgb="FF9F151B"/>
      </x:font>
      <x:fill>
        <x:patternFill patternType="solid">
          <x:bgColor rgb="FFF8D9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b09f4c25364888" /><Relationship Type="http://schemas.openxmlformats.org/officeDocument/2006/relationships/theme" Target="/xl/theme/theme1.xml" Id="R25c80c75f66c45ca" /><Relationship Type="http://schemas.openxmlformats.org/officeDocument/2006/relationships/sharedStrings" Target="/xl/sharedStrings.xml" Id="Rafd4d81a7d1d4673" /><Relationship Type="http://schemas.openxmlformats.org/officeDocument/2006/relationships/worksheet" Target="/xl/worksheets/sheet1.xml" Id="R3b5f290521c04cf9" /><Relationship Type="http://schemas.openxmlformats.org/officeDocument/2006/relationships/worksheet" Target="/xl/worksheets/sheet2.xml" Id="R37695762fdd6475b" /><Relationship Type="http://schemas.openxmlformats.org/officeDocument/2006/relationships/worksheet" Target="/xl/worksheets/sheet3.xml" Id="R0e2977f16da9464e" /></Relationships>
</file>

<file path=xl/tables/table1.xml><?xml version="1.0" encoding="utf-8"?>
<x:table xmlns:x="http://schemas.openxmlformats.org/spreadsheetml/2006/main" id="1" name="GameCodes" displayName="GameCodes" ref="A1:H13" headerRowCount="1" totalsRowCount="0" totalsRowShown="0">
  <x:tableColumns count="8">
    <x:tableColumn id="1" name="比赛代码"/>
    <x:tableColumn id="2" name="组别"/>
    <x:tableColumn id="3" name="阶段"/>
    <x:tableColumn id="4" name="主队签位"/>
    <x:tableColumn id="5" name="客队签位"/>
    <x:tableColumn id="6" name="预期次数"/>
    <x:tableColumn id="7" name="网格出现次数"/>
    <x:tableColumn id="8" name="自查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c0ed9f9a3b74f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21" t="str">
        <x:v>PKUBA 赛程离线填写模板</x:v>
      </x:c>
      <x:c r="B1" s="21"/>
      <x:c r="C1" s="21"/>
      <x:c r="D1" s="21"/>
      <x:c r="E1" s="21"/>
      <x:c r="F1" s="21"/>
      <x:c r="G1" s="21"/>
      <x:c r="H1" s="21"/>
    </x:row>
    <x:row r="2" ht="24" customHeight="1">
      <x:c r="A2" s="21"/>
      <x:c r="B2" s="21"/>
      <x:c r="C2" s="21"/>
      <x:c r="D2" s="21"/>
      <x:c r="E2" s="21"/>
      <x:c r="F2" s="21"/>
      <x:c r="G2" s="21"/>
      <x:c r="H2" s="21"/>
    </x:row>
    <x:row r="3" ht="24" customHeight="1">
      <x:c r="A3" s="22"/>
      <x:c r="B3" s="22"/>
      <x:c r="C3" s="22"/>
      <x:c r="D3" s="22"/>
      <x:c r="E3" s="22"/>
      <x:c r="F3" s="22"/>
      <x:c r="G3" s="22"/>
      <x:c r="H3" s="22"/>
    </x:row>
    <x:row r="4" ht="24" customHeight="1">
      <x:c r="A4" s="23" t="str">
        <x:v>模板版本</x:v>
      </x:c>
      <x:c r="B4" s="24" t="str">
        <x:v>1.0.0</x:v>
      </x:c>
      <x:c r="C4" s="22"/>
      <x:c r="D4" s="22"/>
      <x:c r="E4" s="22"/>
      <x:c r="F4" s="22"/>
      <x:c r="G4" s="22"/>
      <x:c r="H4" s="22"/>
    </x:row>
    <x:row r="5" ht="24" customHeight="1">
      <x:c r="A5" s="23" t="str">
        <x:v>赛季标识</x:v>
      </x:c>
      <x:c r="B5" s="24" t="str">
        <x:v>DEMO-SEASON-REPLACE-BY-SERVER</x:v>
      </x:c>
      <x:c r="C5" s="22"/>
      <x:c r="D5" s="22"/>
      <x:c r="E5" s="22"/>
      <x:c r="F5" s="22"/>
      <x:c r="G5" s="22"/>
      <x:c r="H5" s="22"/>
    </x:row>
    <x:row r="6" ht="24" customHeight="1">
      <x:c r="A6" s="23" t="str">
        <x:v>用途</x:v>
      </x:c>
      <x:c r="B6" s="24" t="str">
        <x:v>设计基线；正式下载时由服务器写入当季日期、时段、场地与比赛代码</x:v>
      </x:c>
      <x:c r="C6" s="22"/>
      <x:c r="D6" s="22"/>
      <x:c r="E6" s="22"/>
      <x:c r="F6" s="22"/>
      <x:c r="G6" s="22"/>
      <x:c r="H6" s="22"/>
    </x:row>
    <x:row r="7" ht="24" customHeight="1">
      <x:c r="A7" s="23" t="str">
        <x:v>上传原则</x:v>
      </x:c>
      <x:c r="B7" s="24" t="str">
        <x:v>上传只进入暂存批次，服务器校验通过且管理员确认差异后才写入正式赛程</x:v>
      </x:c>
      <x:c r="C7" s="22"/>
      <x:c r="D7" s="22"/>
      <x:c r="E7" s="22"/>
      <x:c r="F7" s="22"/>
      <x:c r="G7" s="22"/>
      <x:c r="H7" s="22"/>
    </x:row>
    <x:row r="8" ht="24" customHeight="1">
      <x:c r="A8" s="22"/>
      <x:c r="B8" s="22"/>
      <x:c r="C8" s="22"/>
      <x:c r="D8" s="22"/>
      <x:c r="E8" s="22"/>
      <x:c r="F8" s="22"/>
      <x:c r="G8" s="22"/>
      <x:c r="H8" s="22"/>
    </x:row>
    <x:row r="9" ht="24" customHeight="1">
      <x:c r="A9" s="25" t="str">
        <x:v>填写规则</x:v>
      </x:c>
      <x:c r="B9" s="25"/>
      <x:c r="C9" s="25"/>
      <x:c r="D9" s="25"/>
      <x:c r="E9" s="25"/>
      <x:c r="F9" s="25"/>
      <x:c r="G9" s="25"/>
      <x:c r="H9" s="25"/>
    </x:row>
    <x:row r="10" ht="24" customHeight="1">
      <x:c r="A10" s="26" t="str">
        <x:v>1. 只在“赛程网格”的三个场地列中选择比赛代码，不要直接填写球队名称。</x:v>
      </x:c>
      <x:c r="B10" s="26"/>
      <x:c r="C10" s="26"/>
      <x:c r="D10" s="26"/>
      <x:c r="E10" s="26"/>
      <x:c r="F10" s="26"/>
      <x:c r="G10" s="26"/>
      <x:c r="H10" s="26"/>
    </x:row>
    <x:row r="11" ht="24" customHeight="1">
      <x:c r="A11" s="26" t="str">
        <x:v>2. 不要改名、删除或新增工作表；不要修改模板版本、赛季标识和系统元数据。</x:v>
      </x:c>
      <x:c r="B11" s="26"/>
      <x:c r="C11" s="26"/>
      <x:c r="D11" s="26"/>
      <x:c r="E11" s="26"/>
      <x:c r="F11" s="26"/>
      <x:c r="G11" s="26"/>
      <x:c r="H11" s="26"/>
    </x:row>
    <x:row r="12" ht="24" customHeight="1">
      <x:c r="A12" s="26" t="str">
        <x:v>3. 一个比赛代码必须且只能出现一次；漏填、重复或额外代码都会阻止确认。</x:v>
      </x:c>
      <x:c r="B12" s="26"/>
      <x:c r="C12" s="26"/>
      <x:c r="D12" s="26"/>
      <x:c r="E12" s="26"/>
      <x:c r="F12" s="26"/>
      <x:c r="G12" s="26"/>
      <x:c r="H12" s="26"/>
    </x:row>
    <x:row r="13" ht="24" customHeight="1">
      <x:c r="A13" s="26" t="str">
        <x:v>4. 同一场地同一时段只能有一场比赛，同一球队不能在同一时段参加两场比赛。</x:v>
      </x:c>
      <x:c r="B13" s="26"/>
      <x:c r="C13" s="26"/>
      <x:c r="D13" s="26"/>
      <x:c r="E13" s="26"/>
      <x:c r="F13" s="26"/>
      <x:c r="G13" s="26"/>
      <x:c r="H13" s="26"/>
    </x:row>
    <x:row r="14" ht="24" customHeight="1">
      <x:c r="A14" s="26" t="str">
        <x:v>5. 工作日默认只开放 period 1/6 且各 1 场；周末 period 1–3 各 3 场、period 4–5 各 2 场。</x:v>
      </x:c>
      <x:c r="B14" s="26"/>
      <x:c r="C14" s="26"/>
      <x:c r="D14" s="26"/>
      <x:c r="E14" s="26"/>
      <x:c r="F14" s="26"/>
      <x:c r="G14" s="26"/>
      <x:c r="H14" s="26"/>
    </x:row>
    <x:row r="15" ht="24" customHeight="1">
      <x:c r="A15" s="26" t="str">
        <x:v>6. 最后一轮小组赛与决赛应重点提示，但是否允许领队调赛必须在上传后由管理员显式勾选。</x:v>
      </x:c>
      <x:c r="B15" s="26"/>
      <x:c r="C15" s="26"/>
      <x:c r="D15" s="26"/>
      <x:c r="E15" s="26"/>
      <x:c r="F15" s="26"/>
      <x:c r="G15" s="26"/>
      <x:c r="H15" s="26"/>
    </x:row>
    <x:row r="16" ht="24" customHeight="1">
      <x:c r="A16" s="26" t="str">
        <x:v>7. 禁止宏、外部链接和用户区域公式。服务器不信任本地自查结果，会重新执行全部校验。</x:v>
      </x:c>
      <x:c r="B16" s="26"/>
      <x:c r="C16" s="26"/>
      <x:c r="D16" s="26"/>
      <x:c r="E16" s="26"/>
      <x:c r="F16" s="26"/>
      <x:c r="G16" s="26"/>
      <x:c r="H16" s="26"/>
    </x:row>
    <x:row r="17" ht="24" customHeight="1">
      <x:c r="A17" s="26" t="str">
        <x:v>8. 上传后先查看错误、警告及新旧差异，再确认应有、实际、新增、修改和移除场次数。</x:v>
      </x:c>
      <x:c r="B17" s="26"/>
      <x:c r="C17" s="26"/>
      <x:c r="D17" s="26"/>
      <x:c r="E17" s="26"/>
      <x:c r="F17" s="26"/>
      <x:c r="G17" s="26"/>
      <x:c r="H17" s="26"/>
    </x:row>
    <x:row r="18" ht="24" customHeight="1">
      <x:c r="A18" s="26" t="str">
        <x:v>9. 已开始、已有赛果或存在活动调赛申请的比赛不能通过普通整表导入覆盖。</x:v>
      </x:c>
      <x:c r="B18" s="26"/>
      <x:c r="C18" s="26"/>
      <x:c r="D18" s="26"/>
      <x:c r="E18" s="26"/>
      <x:c r="F18" s="26"/>
      <x:c r="G18" s="26"/>
      <x:c r="H18" s="26"/>
    </x:row>
    <x:row r="19" ht="24" customHeight="1">
      <x:c r="A19" s="22"/>
      <x:c r="B19" s="22"/>
      <x:c r="C19" s="22"/>
      <x:c r="D19" s="22"/>
      <x:c r="E19" s="22"/>
      <x:c r="F19" s="22"/>
      <x:c r="G19" s="22"/>
      <x:c r="H19" s="22"/>
    </x:row>
    <x:row r="20" ht="24" customHeight="1">
      <x:c r="A20" s="27" t="str">
        <x:v>注意：Excel 的下拉与自查只是填写辅助。权限、容量、场地唯一、完整对阵和差异写入均由 Django/PostgreSQL 最终裁定。</x:v>
      </x:c>
      <x:c r="B20" s="27"/>
      <x:c r="C20" s="27"/>
      <x:c r="D20" s="27"/>
      <x:c r="E20" s="27"/>
      <x:c r="F20" s="27"/>
      <x:c r="G20" s="27"/>
      <x:c r="H20" s="27"/>
    </x:row>
    <x:row r="21" ht="24" customHeight="1">
      <x:c r="A21" s="27"/>
      <x:c r="B21" s="27"/>
      <x:c r="C21" s="27"/>
      <x:c r="D21" s="27"/>
      <x:c r="E21" s="27"/>
      <x:c r="F21" s="27"/>
      <x:c r="G21" s="27"/>
      <x:c r="H21" s="27"/>
    </x:row>
    <x:row r="22" ht="24" customHeight="1">
      <x:c r="A22" s="22"/>
      <x:c r="B22" s="22"/>
      <x:c r="C22" s="22"/>
      <x:c r="D22" s="22"/>
      <x:c r="E22" s="22"/>
      <x:c r="F22" s="22"/>
      <x:c r="G22" s="22"/>
      <x:c r="H22" s="22"/>
    </x:row>
    <x:row r="23" ht="24" customHeight="1">
      <x:c r="A23" s="22"/>
      <x:c r="B23" s="22"/>
      <x:c r="C23" s="22"/>
      <x:c r="D23" s="22"/>
      <x:c r="E23" s="22"/>
      <x:c r="F23" s="22"/>
      <x:c r="G23" s="22"/>
      <x:c r="H23" s="22"/>
    </x:row>
    <x:row r="24" ht="24" customHeight="1">
      <x:c r="A24" s="22"/>
      <x:c r="B24" s="22"/>
      <x:c r="C24" s="22"/>
      <x:c r="D24" s="22"/>
      <x:c r="E24" s="22"/>
      <x:c r="F24" s="22"/>
      <x:c r="G24" s="22"/>
      <x:c r="H24" s="22"/>
    </x:row>
  </x:sheetData>
  <x:mergeCells>
    <x:mergeCell ref="A1:H2"/>
    <x:mergeCell ref="A9:H9"/>
    <x:mergeCell ref="A10:H10"/>
    <x:mergeCell ref="A11:H11"/>
    <x:mergeCell ref="A12:H12"/>
    <x:mergeCell ref="A13:H13"/>
    <x:mergeCell ref="A14:H14"/>
    <x:mergeCell ref="A15:H15"/>
    <x:mergeCell ref="A16:H16"/>
    <x:mergeCell ref="A17:H17"/>
    <x:mergeCell ref="A18:H18"/>
    <x:mergeCell ref="A20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12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7" hidden="0" customWidth="1"/>
    <x:col min="9" max="9" width="13" hidden="0" customWidth="1"/>
    <x:col min="10" max="10" width="16" hidden="0" customWidth="1"/>
    <x:col min="11" max="11" width="16" hidden="0" customWidth="1"/>
  </x:cols>
  <x:sheetData>
    <x:row r="1">
      <x:c r="A1" s="45" t="str">
        <x:v>PKUBA 赛程网格 · 只填写场地列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</x:row>
    <x:row r="4">
      <x:c r="A4" s="23" t="str">
        <x:v>模板版本</x:v>
      </x:c>
      <x:c r="B4" s="23" t="str">
        <x:v>1.0.0</x:v>
      </x:c>
      <x:c r="C4" s="23" t="str">
        <x:v>赛季标识</x:v>
      </x:c>
      <x:c r="D4" s="23" t="str">
        <x:v>DEMO-SEASON-REPLACE-BY-SERVER</x:v>
      </x:c>
      <x:c r="E4" s="23"/>
      <x:c r="F4" s="23"/>
      <x:c r="G4" s="23"/>
      <x:c r="H4" s="23"/>
      <x:c r="I4" s="23" t="str">
        <x:v>网格状态</x:v>
      </x:c>
      <x:c r="J4" s="23" t="str">
        <x:v>等待填写</x:v>
      </x:c>
      <x:c r="K4" s="23"/>
    </x:row>
    <x:row r="5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</x:row>
    <x:row r="6">
      <x:c r="A6" s="46" t="str">
        <x:v>日期</x:v>
      </x:c>
      <x:c r="B6" s="46" t="str">
        <x:v>星期</x:v>
      </x:c>
      <x:c r="C6" s="46" t="str">
        <x:v>时段代码</x:v>
      </x:c>
      <x:c r="D6" s="46" t="str">
        <x:v>时段名称</x:v>
      </x:c>
      <x:c r="E6" s="46" t="str">
        <x:v>五四东一</x:v>
      </x:c>
      <x:c r="F6" s="46" t="str">
        <x:v>五四东二</x:v>
      </x:c>
      <x:c r="G6" s="46" t="str">
        <x:v>五四东三</x:v>
      </x:c>
      <x:c r="H6" s="46" t="str">
        <x:v>自查项目</x:v>
      </x:c>
      <x:c r="I6" s="46" t="str">
        <x:v>结果</x:v>
      </x:c>
      <x:c r="J6" s="46" t="str">
        <x:v>说明</x:v>
      </x:c>
      <x:c r="K6" s="46" t="str">
        <x:v>服务器校验</x:v>
      </x:c>
    </x:row>
    <x:row r="7" ht="23" customHeight="1">
      <x:c r="A7" s="47" t="n">
        <x:v>46307</x:v>
      </x:c>
      <x:c r="B7" s="48" t="str">
        <x:v>周一</x:v>
      </x:c>
      <x:c r="C7" s="48" t="str">
        <x:v>P1</x:v>
      </x:c>
      <x:c r="D7" s="48" t="str">
        <x:v>第一时段</x:v>
      </x:c>
      <x:c r="E7" s="49"/>
      <x:c r="F7" s="49"/>
      <x:c r="G7" s="49"/>
      <x:c r="H7" s="50" t="str">
        <x:v>已填写场次</x:v>
      </x:c>
      <x:c r="I7" s="51" t="n">
        <x:f>COUNTA(E7:G26)</x:f>
        <x:v>0</x:v>
      </x:c>
      <x:c r="J7" s="52" t="str">
        <x:v>非空场地格</x:v>
      </x:c>
      <x:c r="K7" s="52" t="str">
        <x:v>上传后重算</x:v>
      </x:c>
    </x:row>
    <x:row r="8" ht="23" customHeight="1">
      <x:c r="A8" s="47" t="n">
        <x:v>46307</x:v>
      </x:c>
      <x:c r="B8" s="48" t="str">
        <x:v>周一</x:v>
      </x:c>
      <x:c r="C8" s="48" t="str">
        <x:v>P6</x:v>
      </x:c>
      <x:c r="D8" s="48" t="str">
        <x:v>第六时段</x:v>
      </x:c>
      <x:c r="E8" s="49"/>
      <x:c r="F8" s="49"/>
      <x:c r="G8" s="49"/>
      <x:c r="H8" s="50" t="str">
        <x:v>应有场次</x:v>
      </x:c>
      <x:c r="I8" s="51" t="n">
        <x:f>COUNTA('模板元数据'!A2:A13)</x:f>
        <x:v>12</x:v>
      </x:c>
      <x:c r="J8" s="52" t="str">
        <x:v>系统比赛代码</x:v>
      </x:c>
      <x:c r="K8" s="52" t="str">
        <x:v>上传后重算</x:v>
      </x:c>
    </x:row>
    <x:row r="9" ht="23" customHeight="1">
      <x:c r="A9" s="47" t="n">
        <x:v>46308</x:v>
      </x:c>
      <x:c r="B9" s="48" t="str">
        <x:v>周二</x:v>
      </x:c>
      <x:c r="C9" s="48" t="str">
        <x:v>P1</x:v>
      </x:c>
      <x:c r="D9" s="48" t="str">
        <x:v>第一时段</x:v>
      </x:c>
      <x:c r="E9" s="49"/>
      <x:c r="F9" s="49"/>
      <x:c r="G9" s="49"/>
      <x:c r="H9" s="50" t="str">
        <x:v>数量状态</x:v>
      </x:c>
      <x:c r="I9" s="51" t="str">
        <x:f>IF(I7=I8,"数量一致","请检查")</x:f>
        <x:v>请检查</x:v>
      </x:c>
      <x:c r="J9" s="52" t="str">
        <x:v>只做本地提示</x:v>
      </x:c>
      <x:c r="K9" s="52" t="str">
        <x:v>上传后重算</x:v>
      </x:c>
    </x:row>
    <x:row r="10" ht="23" customHeight="1">
      <x:c r="A10" s="47" t="n">
        <x:v>46308</x:v>
      </x:c>
      <x:c r="B10" s="48" t="str">
        <x:v>周二</x:v>
      </x:c>
      <x:c r="C10" s="48" t="str">
        <x:v>P6</x:v>
      </x:c>
      <x:c r="D10" s="48" t="str">
        <x:v>第六时段</x:v>
      </x:c>
      <x:c r="E10" s="49"/>
      <x:c r="F10" s="49"/>
      <x:c r="G10" s="49"/>
      <x:c r="H10" s="50" t="str">
        <x:v>异常代码数</x:v>
      </x:c>
      <x:c r="I10" s="51" t="n">
        <x:f>COUNTIF('模板元数据'!H2:H13,"&lt;&gt;正常")</x:f>
        <x:v>12</x:v>
      </x:c>
      <x:c r="J10" s="52" t="str">
        <x:v>漏填或重复</x:v>
      </x:c>
      <x:c r="K10" s="52" t="str">
        <x:v>上传后重算</x:v>
      </x:c>
    </x:row>
    <x:row r="11" ht="23" customHeight="1">
      <x:c r="A11" s="47" t="n">
        <x:v>46309</x:v>
      </x:c>
      <x:c r="B11" s="48" t="str">
        <x:v>周三</x:v>
      </x:c>
      <x:c r="C11" s="48" t="str">
        <x:v>P1</x:v>
      </x:c>
      <x:c r="D11" s="48" t="str">
        <x:v>第一时段</x:v>
      </x:c>
      <x:c r="E11" s="49"/>
      <x:c r="F11" s="49"/>
      <x:c r="G11" s="49"/>
      <x:c r="H11" s="22"/>
      <x:c r="I11" s="22"/>
      <x:c r="J11" s="22"/>
      <x:c r="K11" s="22"/>
    </x:row>
    <x:row r="12" ht="23" customHeight="1">
      <x:c r="A12" s="47" t="n">
        <x:v>46309</x:v>
      </x:c>
      <x:c r="B12" s="48" t="str">
        <x:v>周三</x:v>
      </x:c>
      <x:c r="C12" s="48" t="str">
        <x:v>P6</x:v>
      </x:c>
      <x:c r="D12" s="48" t="str">
        <x:v>第六时段</x:v>
      </x:c>
      <x:c r="E12" s="49"/>
      <x:c r="F12" s="49"/>
      <x:c r="G12" s="49"/>
      <x:c r="H12" s="22"/>
      <x:c r="I12" s="22"/>
      <x:c r="J12" s="22"/>
      <x:c r="K12" s="22"/>
    </x:row>
    <x:row r="13" ht="23" customHeight="1">
      <x:c r="A13" s="47" t="n">
        <x:v>46310</x:v>
      </x:c>
      <x:c r="B13" s="48" t="str">
        <x:v>周四</x:v>
      </x:c>
      <x:c r="C13" s="48" t="str">
        <x:v>P1</x:v>
      </x:c>
      <x:c r="D13" s="48" t="str">
        <x:v>第一时段</x:v>
      </x:c>
      <x:c r="E13" s="49"/>
      <x:c r="F13" s="49"/>
      <x:c r="G13" s="49"/>
      <x:c r="H13" s="22"/>
      <x:c r="I13" s="22"/>
      <x:c r="J13" s="22"/>
      <x:c r="K13" s="22"/>
    </x:row>
    <x:row r="14" ht="23" customHeight="1">
      <x:c r="A14" s="47" t="n">
        <x:v>46310</x:v>
      </x:c>
      <x:c r="B14" s="48" t="str">
        <x:v>周四</x:v>
      </x:c>
      <x:c r="C14" s="48" t="str">
        <x:v>P6</x:v>
      </x:c>
      <x:c r="D14" s="48" t="str">
        <x:v>第六时段</x:v>
      </x:c>
      <x:c r="E14" s="49"/>
      <x:c r="F14" s="49"/>
      <x:c r="G14" s="49"/>
      <x:c r="H14" s="22"/>
      <x:c r="I14" s="22"/>
      <x:c r="J14" s="22"/>
      <x:c r="K14" s="22"/>
    </x:row>
    <x:row r="15" ht="23" customHeight="1">
      <x:c r="A15" s="47" t="n">
        <x:v>46311</x:v>
      </x:c>
      <x:c r="B15" s="48" t="str">
        <x:v>周五</x:v>
      </x:c>
      <x:c r="C15" s="48" t="str">
        <x:v>P1</x:v>
      </x:c>
      <x:c r="D15" s="48" t="str">
        <x:v>第一时段</x:v>
      </x:c>
      <x:c r="E15" s="49"/>
      <x:c r="F15" s="49"/>
      <x:c r="G15" s="49"/>
      <x:c r="H15" s="22"/>
      <x:c r="I15" s="22"/>
      <x:c r="J15" s="22"/>
      <x:c r="K15" s="22"/>
    </x:row>
    <x:row r="16" ht="23" customHeight="1">
      <x:c r="A16" s="47" t="n">
        <x:v>46311</x:v>
      </x:c>
      <x:c r="B16" s="48" t="str">
        <x:v>周五</x:v>
      </x:c>
      <x:c r="C16" s="48" t="str">
        <x:v>P6</x:v>
      </x:c>
      <x:c r="D16" s="48" t="str">
        <x:v>第六时段</x:v>
      </x:c>
      <x:c r="E16" s="49"/>
      <x:c r="F16" s="49"/>
      <x:c r="G16" s="49"/>
      <x:c r="H16" s="22"/>
      <x:c r="I16" s="22"/>
      <x:c r="J16" s="22"/>
      <x:c r="K16" s="22"/>
    </x:row>
    <x:row r="17" ht="23" customHeight="1">
      <x:c r="A17" s="47" t="n">
        <x:v>46312</x:v>
      </x:c>
      <x:c r="B17" s="48" t="str">
        <x:v>周六</x:v>
      </x:c>
      <x:c r="C17" s="48" t="str">
        <x:v>P1</x:v>
      </x:c>
      <x:c r="D17" s="48" t="str">
        <x:v>第一时段</x:v>
      </x:c>
      <x:c r="E17" s="49"/>
      <x:c r="F17" s="49"/>
      <x:c r="G17" s="49"/>
      <x:c r="H17" s="22"/>
      <x:c r="I17" s="22"/>
      <x:c r="J17" s="22"/>
      <x:c r="K17" s="22"/>
    </x:row>
    <x:row r="18" ht="23" customHeight="1">
      <x:c r="A18" s="47" t="n">
        <x:v>46312</x:v>
      </x:c>
      <x:c r="B18" s="48" t="str">
        <x:v>周六</x:v>
      </x:c>
      <x:c r="C18" s="48" t="str">
        <x:v>P2</x:v>
      </x:c>
      <x:c r="D18" s="48" t="str">
        <x:v>第二时段</x:v>
      </x:c>
      <x:c r="E18" s="49"/>
      <x:c r="F18" s="49"/>
      <x:c r="G18" s="49"/>
      <x:c r="H18" s="22"/>
      <x:c r="I18" s="22"/>
      <x:c r="J18" s="22"/>
      <x:c r="K18" s="22"/>
    </x:row>
    <x:row r="19" ht="23" customHeight="1">
      <x:c r="A19" s="47" t="n">
        <x:v>46312</x:v>
      </x:c>
      <x:c r="B19" s="48" t="str">
        <x:v>周六</x:v>
      </x:c>
      <x:c r="C19" s="48" t="str">
        <x:v>P3</x:v>
      </x:c>
      <x:c r="D19" s="48" t="str">
        <x:v>第三时段</x:v>
      </x:c>
      <x:c r="E19" s="49"/>
      <x:c r="F19" s="49"/>
      <x:c r="G19" s="49"/>
      <x:c r="H19" s="22"/>
      <x:c r="I19" s="22"/>
      <x:c r="J19" s="22"/>
      <x:c r="K19" s="22"/>
    </x:row>
    <x:row r="20" ht="23" customHeight="1">
      <x:c r="A20" s="47" t="n">
        <x:v>46312</x:v>
      </x:c>
      <x:c r="B20" s="48" t="str">
        <x:v>周六</x:v>
      </x:c>
      <x:c r="C20" s="48" t="str">
        <x:v>P4</x:v>
      </x:c>
      <x:c r="D20" s="48" t="str">
        <x:v>第四时段</x:v>
      </x:c>
      <x:c r="E20" s="49"/>
      <x:c r="F20" s="49"/>
      <x:c r="G20" s="49"/>
      <x:c r="H20" s="22"/>
      <x:c r="I20" s="22"/>
      <x:c r="J20" s="22"/>
      <x:c r="K20" s="22"/>
    </x:row>
    <x:row r="21" ht="23" customHeight="1">
      <x:c r="A21" s="47" t="n">
        <x:v>46312</x:v>
      </x:c>
      <x:c r="B21" s="48" t="str">
        <x:v>周六</x:v>
      </x:c>
      <x:c r="C21" s="48" t="str">
        <x:v>P5</x:v>
      </x:c>
      <x:c r="D21" s="48" t="str">
        <x:v>第五时段</x:v>
      </x:c>
      <x:c r="E21" s="49"/>
      <x:c r="F21" s="49"/>
      <x:c r="G21" s="49"/>
      <x:c r="H21" s="22"/>
      <x:c r="I21" s="22"/>
      <x:c r="J21" s="22"/>
      <x:c r="K21" s="22"/>
    </x:row>
    <x:row r="22" ht="23" customHeight="1">
      <x:c r="A22" s="47" t="n">
        <x:v>46313</x:v>
      </x:c>
      <x:c r="B22" s="48" t="str">
        <x:v>周日</x:v>
      </x:c>
      <x:c r="C22" s="48" t="str">
        <x:v>P1</x:v>
      </x:c>
      <x:c r="D22" s="48" t="str">
        <x:v>第一时段</x:v>
      </x:c>
      <x:c r="E22" s="49"/>
      <x:c r="F22" s="49"/>
      <x:c r="G22" s="49"/>
      <x:c r="H22" s="22"/>
      <x:c r="I22" s="22"/>
      <x:c r="J22" s="22"/>
      <x:c r="K22" s="22"/>
    </x:row>
    <x:row r="23" ht="23" customHeight="1">
      <x:c r="A23" s="47" t="n">
        <x:v>46313</x:v>
      </x:c>
      <x:c r="B23" s="48" t="str">
        <x:v>周日</x:v>
      </x:c>
      <x:c r="C23" s="48" t="str">
        <x:v>P2</x:v>
      </x:c>
      <x:c r="D23" s="48" t="str">
        <x:v>第二时段</x:v>
      </x:c>
      <x:c r="E23" s="49"/>
      <x:c r="F23" s="49"/>
      <x:c r="G23" s="49"/>
      <x:c r="H23" s="22"/>
      <x:c r="I23" s="22"/>
      <x:c r="J23" s="22"/>
      <x:c r="K23" s="22"/>
    </x:row>
    <x:row r="24" ht="23" customHeight="1">
      <x:c r="A24" s="47" t="n">
        <x:v>46313</x:v>
      </x:c>
      <x:c r="B24" s="48" t="str">
        <x:v>周日</x:v>
      </x:c>
      <x:c r="C24" s="48" t="str">
        <x:v>P3</x:v>
      </x:c>
      <x:c r="D24" s="48" t="str">
        <x:v>第三时段</x:v>
      </x:c>
      <x:c r="E24" s="49"/>
      <x:c r="F24" s="49"/>
      <x:c r="G24" s="49"/>
      <x:c r="H24" s="22"/>
      <x:c r="I24" s="22"/>
      <x:c r="J24" s="22"/>
      <x:c r="K24" s="22"/>
    </x:row>
    <x:row r="25" ht="23" customHeight="1">
      <x:c r="A25" s="47" t="n">
        <x:v>46313</x:v>
      </x:c>
      <x:c r="B25" s="48" t="str">
        <x:v>周日</x:v>
      </x:c>
      <x:c r="C25" s="48" t="str">
        <x:v>P4</x:v>
      </x:c>
      <x:c r="D25" s="48" t="str">
        <x:v>第四时段</x:v>
      </x:c>
      <x:c r="E25" s="49"/>
      <x:c r="F25" s="49"/>
      <x:c r="G25" s="49"/>
      <x:c r="H25" s="22"/>
      <x:c r="I25" s="22"/>
      <x:c r="J25" s="22"/>
      <x:c r="K25" s="22"/>
    </x:row>
    <x:row r="26" ht="23" customHeight="1">
      <x:c r="A26" s="47" t="n">
        <x:v>46313</x:v>
      </x:c>
      <x:c r="B26" s="48" t="str">
        <x:v>周日</x:v>
      </x:c>
      <x:c r="C26" s="48" t="str">
        <x:v>P5</x:v>
      </x:c>
      <x:c r="D26" s="48" t="str">
        <x:v>第五时段</x:v>
      </x:c>
      <x:c r="E26" s="49"/>
      <x:c r="F26" s="49"/>
      <x:c r="G26" s="49"/>
      <x:c r="H26" s="22"/>
      <x:c r="I26" s="22"/>
      <x:c r="J26" s="22"/>
      <x:c r="K26" s="22"/>
    </x:row>
    <x:row r="27" ht="23" customHeight="1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 ht="23" customHeight="1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 ht="23" customHeight="1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 ht="23" customHeight="1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</x:sheetData>
  <x:mergeCells>
    <x:mergeCell ref="A1:K2"/>
    <x:mergeCell ref="D4:H4"/>
    <x:mergeCell ref="J4:K4"/>
  </x:mergeCells>
  <x:conditionalFormatting sqref="E7:G26">
    <x:cfRule type="duplicateValues" dxfId="0" priority="1"/>
  </x:conditionalFormatting>
  <x:conditionalFormatting sqref="I9:I9">
    <x:cfRule type="containsText" dxfId="1" priority="2" operator="containsText" text="数量一致"/>
    <x:cfRule type="containsText" dxfId="2" priority="3" operator="containsText" text="请检查"/>
  </x:conditionalFormatting>
  <x:dataValidations count="1">
    <x:dataValidation type="list" sqref="E7:G26">
      <x:formula1>'模板元数据'!$A$2:$A$13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3" customHeight="1">
      <x:c r="A1" s="59" t="str">
        <x:v>比赛代码</x:v>
      </x:c>
      <x:c r="B1" s="59" t="str">
        <x:v>组别</x:v>
      </x:c>
      <x:c r="C1" s="59" t="str">
        <x:v>阶段</x:v>
      </x:c>
      <x:c r="D1" s="59" t="str">
        <x:v>主队签位</x:v>
      </x:c>
      <x:c r="E1" s="59" t="str">
        <x:v>客队签位</x:v>
      </x:c>
      <x:c r="F1" s="59" t="str">
        <x:v>预期次数</x:v>
      </x:c>
      <x:c r="G1" s="59" t="str">
        <x:v>网格出现次数</x:v>
      </x:c>
      <x:c r="H1" s="59" t="str">
        <x:v>自查状态</x:v>
      </x:c>
    </x:row>
    <x:row r="2" ht="23" customHeight="1">
      <x:c r="A2" s="48" t="str">
        <x:v>MJA-A-01</x:v>
      </x:c>
      <x:c r="B2" s="48" t="str">
        <x:v>男甲</x:v>
      </x:c>
      <x:c r="C2" s="48" t="str">
        <x:v>小组赛</x:v>
      </x:c>
      <x:c r="D2" s="48" t="str">
        <x:v>男甲-A1</x:v>
      </x:c>
      <x:c r="E2" s="48" t="str">
        <x:v>男甲-A2</x:v>
      </x:c>
      <x:c r="F2" s="48" t="n">
        <x:v>1</x:v>
      </x:c>
      <x:c r="G2" s="60" t="n">
        <x:f>COUNTIF('赛程网格'!$E$7:$G$26,A2)</x:f>
        <x:v>0</x:v>
      </x:c>
      <x:c r="H2" s="60" t="str">
        <x:f>IF(G2=0,"漏填",IF(G2=1,"正常","重复"))</x:f>
        <x:v>漏填</x:v>
      </x:c>
    </x:row>
    <x:row r="3" ht="23" customHeight="1">
      <x:c r="A3" s="48" t="str">
        <x:v>MJA-A-02</x:v>
      </x:c>
      <x:c r="B3" s="48" t="str">
        <x:v>男甲</x:v>
      </x:c>
      <x:c r="C3" s="48" t="str">
        <x:v>小组赛</x:v>
      </x:c>
      <x:c r="D3" s="48" t="str">
        <x:v>男甲-A3</x:v>
      </x:c>
      <x:c r="E3" s="48" t="str">
        <x:v>男甲-A4</x:v>
      </x:c>
      <x:c r="F3" s="48" t="n">
        <x:v>1</x:v>
      </x:c>
      <x:c r="G3" s="60" t="n">
        <x:f>COUNTIF('赛程网格'!$E$7:$G$26,A3)</x:f>
        <x:v>0</x:v>
      </x:c>
      <x:c r="H3" s="60" t="str">
        <x:f>IF(G3=0,"漏填",IF(G3=1,"正常","重复"))</x:f>
        <x:v>漏填</x:v>
      </x:c>
    </x:row>
    <x:row r="4" ht="23" customHeight="1">
      <x:c r="A4" s="48" t="str">
        <x:v>MJA-A-03</x:v>
      </x:c>
      <x:c r="B4" s="48" t="str">
        <x:v>男甲</x:v>
      </x:c>
      <x:c r="C4" s="48" t="str">
        <x:v>小组赛</x:v>
      </x:c>
      <x:c r="D4" s="48" t="str">
        <x:v>男甲-A1</x:v>
      </x:c>
      <x:c r="E4" s="48" t="str">
        <x:v>男甲-A3</x:v>
      </x:c>
      <x:c r="F4" s="48" t="n">
        <x:v>1</x:v>
      </x:c>
      <x:c r="G4" s="60" t="n">
        <x:f>COUNTIF('赛程网格'!$E$7:$G$26,A4)</x:f>
        <x:v>0</x:v>
      </x:c>
      <x:c r="H4" s="60" t="str">
        <x:f>IF(G4=0,"漏填",IF(G4=1,"正常","重复"))</x:f>
        <x:v>漏填</x:v>
      </x:c>
    </x:row>
    <x:row r="5" ht="23" customHeight="1">
      <x:c r="A5" s="48" t="str">
        <x:v>MJA-A-04</x:v>
      </x:c>
      <x:c r="B5" s="48" t="str">
        <x:v>男甲</x:v>
      </x:c>
      <x:c r="C5" s="48" t="str">
        <x:v>小组赛</x:v>
      </x:c>
      <x:c r="D5" s="48" t="str">
        <x:v>男甲-A2</x:v>
      </x:c>
      <x:c r="E5" s="48" t="str">
        <x:v>男甲-A4</x:v>
      </x:c>
      <x:c r="F5" s="48" t="n">
        <x:v>1</x:v>
      </x:c>
      <x:c r="G5" s="60" t="n">
        <x:f>COUNTIF('赛程网格'!$E$7:$G$26,A5)</x:f>
        <x:v>0</x:v>
      </x:c>
      <x:c r="H5" s="60" t="str">
        <x:f>IF(G5=0,"漏填",IF(G5=1,"正常","重复"))</x:f>
        <x:v>漏填</x:v>
      </x:c>
    </x:row>
    <x:row r="6" ht="23" customHeight="1">
      <x:c r="A6" s="48" t="str">
        <x:v>MJA-A-05</x:v>
      </x:c>
      <x:c r="B6" s="48" t="str">
        <x:v>男甲</x:v>
      </x:c>
      <x:c r="C6" s="48" t="str">
        <x:v>小组赛</x:v>
      </x:c>
      <x:c r="D6" s="48" t="str">
        <x:v>男甲-A1</x:v>
      </x:c>
      <x:c r="E6" s="48" t="str">
        <x:v>男甲-A4</x:v>
      </x:c>
      <x:c r="F6" s="48" t="n">
        <x:v>1</x:v>
      </x:c>
      <x:c r="G6" s="60" t="n">
        <x:f>COUNTIF('赛程网格'!$E$7:$G$26,A6)</x:f>
        <x:v>0</x:v>
      </x:c>
      <x:c r="H6" s="60" t="str">
        <x:f>IF(G6=0,"漏填",IF(G6=1,"正常","重复"))</x:f>
        <x:v>漏填</x:v>
      </x:c>
    </x:row>
    <x:row r="7" ht="23" customHeight="1">
      <x:c r="A7" s="48" t="str">
        <x:v>MJA-A-06</x:v>
      </x:c>
      <x:c r="B7" s="48" t="str">
        <x:v>男甲</x:v>
      </x:c>
      <x:c r="C7" s="48" t="str">
        <x:v>小组赛</x:v>
      </x:c>
      <x:c r="D7" s="48" t="str">
        <x:v>男甲-A2</x:v>
      </x:c>
      <x:c r="E7" s="48" t="str">
        <x:v>男甲-A3</x:v>
      </x:c>
      <x:c r="F7" s="48" t="n">
        <x:v>1</x:v>
      </x:c>
      <x:c r="G7" s="60" t="n">
        <x:f>COUNTIF('赛程网格'!$E$7:$G$26,A7)</x:f>
        <x:v>0</x:v>
      </x:c>
      <x:c r="H7" s="60" t="str">
        <x:f>IF(G7=0,"漏填",IF(G7=1,"正常","重复"))</x:f>
        <x:v>漏填</x:v>
      </x:c>
    </x:row>
    <x:row r="8" ht="23" customHeight="1">
      <x:c r="A8" s="48" t="str">
        <x:v>WJA-A-01</x:v>
      </x:c>
      <x:c r="B8" s="48" t="str">
        <x:v>女甲</x:v>
      </x:c>
      <x:c r="C8" s="48" t="str">
        <x:v>小组赛</x:v>
      </x:c>
      <x:c r="D8" s="48" t="str">
        <x:v>女甲-A1</x:v>
      </x:c>
      <x:c r="E8" s="48" t="str">
        <x:v>女甲-A2</x:v>
      </x:c>
      <x:c r="F8" s="48" t="n">
        <x:v>1</x:v>
      </x:c>
      <x:c r="G8" s="60" t="n">
        <x:f>COUNTIF('赛程网格'!$E$7:$G$26,A8)</x:f>
        <x:v>0</x:v>
      </x:c>
      <x:c r="H8" s="60" t="str">
        <x:f>IF(G8=0,"漏填",IF(G8=1,"正常","重复"))</x:f>
        <x:v>漏填</x:v>
      </x:c>
    </x:row>
    <x:row r="9" ht="23" customHeight="1">
      <x:c r="A9" s="48" t="str">
        <x:v>WJA-A-02</x:v>
      </x:c>
      <x:c r="B9" s="48" t="str">
        <x:v>女甲</x:v>
      </x:c>
      <x:c r="C9" s="48" t="str">
        <x:v>小组赛</x:v>
      </x:c>
      <x:c r="D9" s="48" t="str">
        <x:v>女甲-A3</x:v>
      </x:c>
      <x:c r="E9" s="48" t="str">
        <x:v>女甲-A4</x:v>
      </x:c>
      <x:c r="F9" s="48" t="n">
        <x:v>1</x:v>
      </x:c>
      <x:c r="G9" s="60" t="n">
        <x:f>COUNTIF('赛程网格'!$E$7:$G$26,A9)</x:f>
        <x:v>0</x:v>
      </x:c>
      <x:c r="H9" s="60" t="str">
        <x:f>IF(G9=0,"漏填",IF(G9=1,"正常","重复"))</x:f>
        <x:v>漏填</x:v>
      </x:c>
    </x:row>
    <x:row r="10" ht="23" customHeight="1">
      <x:c r="A10" s="48" t="str">
        <x:v>WJA-A-03</x:v>
      </x:c>
      <x:c r="B10" s="48" t="str">
        <x:v>女甲</x:v>
      </x:c>
      <x:c r="C10" s="48" t="str">
        <x:v>小组赛</x:v>
      </x:c>
      <x:c r="D10" s="48" t="str">
        <x:v>女甲-A1</x:v>
      </x:c>
      <x:c r="E10" s="48" t="str">
        <x:v>女甲-A3</x:v>
      </x:c>
      <x:c r="F10" s="48" t="n">
        <x:v>1</x:v>
      </x:c>
      <x:c r="G10" s="60" t="n">
        <x:f>COUNTIF('赛程网格'!$E$7:$G$26,A10)</x:f>
        <x:v>0</x:v>
      </x:c>
      <x:c r="H10" s="60" t="str">
        <x:f>IF(G10=0,"漏填",IF(G10=1,"正常","重复"))</x:f>
        <x:v>漏填</x:v>
      </x:c>
    </x:row>
    <x:row r="11" ht="23" customHeight="1">
      <x:c r="A11" s="48" t="str">
        <x:v>WJA-A-04</x:v>
      </x:c>
      <x:c r="B11" s="48" t="str">
        <x:v>女甲</x:v>
      </x:c>
      <x:c r="C11" s="48" t="str">
        <x:v>小组赛</x:v>
      </x:c>
      <x:c r="D11" s="48" t="str">
        <x:v>女甲-A2</x:v>
      </x:c>
      <x:c r="E11" s="48" t="str">
        <x:v>女甲-A4</x:v>
      </x:c>
      <x:c r="F11" s="48" t="n">
        <x:v>1</x:v>
      </x:c>
      <x:c r="G11" s="60" t="n">
        <x:f>COUNTIF('赛程网格'!$E$7:$G$26,A11)</x:f>
        <x:v>0</x:v>
      </x:c>
      <x:c r="H11" s="60" t="str">
        <x:f>IF(G11=0,"漏填",IF(G11=1,"正常","重复"))</x:f>
        <x:v>漏填</x:v>
      </x:c>
    </x:row>
    <x:row r="12" ht="23" customHeight="1">
      <x:c r="A12" s="48" t="str">
        <x:v>WJA-A-05</x:v>
      </x:c>
      <x:c r="B12" s="48" t="str">
        <x:v>女甲</x:v>
      </x:c>
      <x:c r="C12" s="48" t="str">
        <x:v>小组赛</x:v>
      </x:c>
      <x:c r="D12" s="48" t="str">
        <x:v>女甲-A1</x:v>
      </x:c>
      <x:c r="E12" s="48" t="str">
        <x:v>女甲-A4</x:v>
      </x:c>
      <x:c r="F12" s="48" t="n">
        <x:v>1</x:v>
      </x:c>
      <x:c r="G12" s="60" t="n">
        <x:f>COUNTIF('赛程网格'!$E$7:$G$26,A12)</x:f>
        <x:v>0</x:v>
      </x:c>
      <x:c r="H12" s="60" t="str">
        <x:f>IF(G12=0,"漏填",IF(G12=1,"正常","重复"))</x:f>
        <x:v>漏填</x:v>
      </x:c>
    </x:row>
    <x:row r="13" ht="23" customHeight="1">
      <x:c r="A13" s="48" t="str">
        <x:v>WJA-A-06</x:v>
      </x:c>
      <x:c r="B13" s="48" t="str">
        <x:v>女甲</x:v>
      </x:c>
      <x:c r="C13" s="48" t="str">
        <x:v>小组赛</x:v>
      </x:c>
      <x:c r="D13" s="48" t="str">
        <x:v>女甲-A2</x:v>
      </x:c>
      <x:c r="E13" s="48" t="str">
        <x:v>女甲-A3</x:v>
      </x:c>
      <x:c r="F13" s="48" t="n">
        <x:v>1</x:v>
      </x:c>
      <x:c r="G13" s="60" t="n">
        <x:f>COUNTIF('赛程网格'!$E$7:$G$26,A13)</x:f>
        <x:v>0</x:v>
      </x:c>
      <x:c r="H13" s="60" t="str">
        <x:f>IF(G13=0,"漏填",IF(G13=1,"正常","重复"))</x:f>
        <x:v>漏填</x:v>
      </x:c>
    </x:row>
    <x:row r="14" ht="23" customHeight="1"/>
    <x:row r="15" ht="23" customHeight="1">
      <x:c r="A15" s="63" t="str">
        <x:v>系统元数据：请勿修改。本设计基线在生产下载时由服务器写入真实赛季 ID、模板签名、场地、时段与比赛代码；上传端仍会验证文件结构和签名。</x:v>
      </x:c>
      <x:c r="B15" s="63"/>
      <x:c r="C15" s="63"/>
      <x:c r="D15" s="63"/>
      <x:c r="E15" s="63"/>
      <x:c r="F15" s="63"/>
      <x:c r="G15" s="63"/>
      <x:c r="H15" s="63"/>
    </x:row>
    <x:row r="16" ht="23" customHeight="1">
      <x:c r="A16" s="63"/>
      <x:c r="B16" s="63"/>
      <x:c r="C16" s="63"/>
      <x:c r="D16" s="63"/>
      <x:c r="E16" s="63"/>
      <x:c r="F16" s="63"/>
      <x:c r="G16" s="63"/>
      <x:c r="H16" s="63"/>
    </x:row>
    <x:row r="17" ht="23" customHeight="1"/>
    <x:row r="18" ht="23" customHeight="1"/>
  </x:sheetData>
  <x:mergeCells>
    <x:mergeCell ref="A15:H16"/>
  </x:mergeCells>
  <x:conditionalFormatting sqref="H2:H13">
    <x:cfRule type="containsText" dxfId="3" priority="1" operator="containsText" text="正常"/>
    <x:cfRule type="containsText" dxfId="4" priority="2" operator="containsText" text="漏填"/>
    <x:cfRule type="containsText" dxfId="5" priority="3" operator="containsText" text="重复"/>
  </x:conditionalFormatting>
  <x:pageMargins left="0.7" right="0.7" top="0.75" bottom="0.75" header="0.3" footer="0.3"/>
  <x:tableParts count="1">
    <x:tablePart xmlns:r="http://schemas.openxmlformats.org/officeDocument/2006/relationships" r:id="Rdc0ed9f9a3b74f34"/>
  </x:tableParts>
</x:worksheet>
</file>